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OneDrive\Desktop\Excel Dataset\"/>
    </mc:Choice>
  </mc:AlternateContent>
  <xr:revisionPtr revIDLastSave="0" documentId="8_{D2B33756-A7BD-4106-95AF-E20633EE0481}" xr6:coauthVersionLast="36" xr6:coauthVersionMax="36" xr10:uidLastSave="{00000000-0000-0000-0000-000000000000}"/>
  <bookViews>
    <workbookView xWindow="0" yWindow="0" windowWidth="20490" windowHeight="7545" activeTab="1" xr2:uid="{1F1EA4B9-7BFE-4DC9-9032-6F5DAC963BCE}"/>
  </bookViews>
  <sheets>
    <sheet name="PMFBY" sheetId="1" r:id="rId1"/>
    <sheet name="IMD Rainfall" sheetId="4" r:id="rId2"/>
    <sheet name="Maharashtra crop yield statisti" sheetId="5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1" i="4" l="1"/>
  <c r="F40" i="4"/>
  <c r="F35" i="4"/>
  <c r="F34" i="4"/>
  <c r="F33" i="4"/>
  <c r="F32" i="4"/>
  <c r="F27" i="4"/>
  <c r="F26" i="4"/>
  <c r="F28" i="4"/>
  <c r="F29" i="4"/>
  <c r="F25" i="4"/>
  <c r="F24" i="4"/>
  <c r="F19" i="4"/>
  <c r="F18" i="4"/>
  <c r="F17" i="4"/>
  <c r="F16" i="4"/>
  <c r="F11" i="4"/>
  <c r="F10" i="4"/>
  <c r="F9" i="4"/>
  <c r="F8" i="4"/>
  <c r="F3" i="4"/>
  <c r="F2" i="4"/>
  <c r="F39" i="4" l="1"/>
  <c r="F38" i="4"/>
  <c r="F37" i="4"/>
  <c r="F36" i="4"/>
  <c r="F31" i="4"/>
  <c r="F30" i="4"/>
  <c r="F23" i="4"/>
  <c r="F22" i="4"/>
  <c r="F21" i="4"/>
  <c r="F20" i="4"/>
  <c r="F15" i="4"/>
  <c r="F14" i="4"/>
  <c r="F13" i="4"/>
  <c r="F12" i="4"/>
  <c r="F7" i="4"/>
  <c r="F6" i="4"/>
  <c r="F5" i="4"/>
  <c r="F4" i="4"/>
  <c r="A27" i="4"/>
  <c r="A7" i="4"/>
  <c r="A19" i="4"/>
  <c r="A40" i="4"/>
  <c r="A15" i="4"/>
  <c r="A39" i="4"/>
  <c r="A33" i="4"/>
  <c r="A24" i="4"/>
  <c r="A41" i="4"/>
  <c r="A4" i="4"/>
  <c r="A37" i="4"/>
  <c r="A14" i="4"/>
  <c r="A18" i="4"/>
  <c r="A20" i="4"/>
  <c r="A3" i="4"/>
  <c r="A5" i="4"/>
  <c r="A9" i="4"/>
  <c r="A6" i="4"/>
  <c r="A21" i="4"/>
  <c r="A11" i="4"/>
  <c r="A38" i="4"/>
  <c r="A22" i="4"/>
  <c r="A26" i="4"/>
  <c r="A28" i="4"/>
  <c r="A35" i="4"/>
  <c r="A2" i="4"/>
  <c r="A13" i="4"/>
  <c r="A25" i="4"/>
  <c r="A29" i="4"/>
  <c r="A31" i="4"/>
  <c r="A34" i="4"/>
  <c r="A16" i="4"/>
  <c r="A12" i="4"/>
  <c r="A23" i="4"/>
  <c r="A36" i="4"/>
  <c r="A8" i="4"/>
  <c r="A30" i="4"/>
  <c r="A17" i="4"/>
  <c r="A32" i="4"/>
  <c r="A10" i="4"/>
</calcChain>
</file>

<file path=xl/sharedStrings.xml><?xml version="1.0" encoding="utf-8"?>
<sst xmlns="http://schemas.openxmlformats.org/spreadsheetml/2006/main" count="462" uniqueCount="31">
  <si>
    <t>Year</t>
  </si>
  <si>
    <t>Season</t>
  </si>
  <si>
    <t>District</t>
  </si>
  <si>
    <t>Total Claim Paid(TCP)</t>
  </si>
  <si>
    <t>Total Farmer Benefits(TFB)</t>
  </si>
  <si>
    <t>Source</t>
  </si>
  <si>
    <t>Nagpur</t>
  </si>
  <si>
    <t>PMFBY Administrative Dashboard</t>
  </si>
  <si>
    <t>Pune</t>
  </si>
  <si>
    <t>Nashik</t>
  </si>
  <si>
    <t>Akola</t>
  </si>
  <si>
    <t>Rabi</t>
  </si>
  <si>
    <t>Data Status</t>
  </si>
  <si>
    <t>Collected</t>
  </si>
  <si>
    <t>Kharif</t>
  </si>
  <si>
    <t>Actual Rainfall(mm)</t>
  </si>
  <si>
    <t>Normal Rainfall(mm)</t>
  </si>
  <si>
    <t>Departure %</t>
  </si>
  <si>
    <t>MahaRain</t>
  </si>
  <si>
    <t>Crop</t>
  </si>
  <si>
    <t>Area(00 ha)</t>
  </si>
  <si>
    <t>Production(00 Tones)</t>
  </si>
  <si>
    <t>Yield(kg/ha)</t>
  </si>
  <si>
    <t>2020-21</t>
  </si>
  <si>
    <t>Soybean</t>
  </si>
  <si>
    <t>Gram</t>
  </si>
  <si>
    <t>2021-22</t>
  </si>
  <si>
    <t>2022-23</t>
  </si>
  <si>
    <t>2023-24</t>
  </si>
  <si>
    <t>2024-25</t>
  </si>
  <si>
    <t>krishi.maharashtra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</si>
</sst>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2"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4B94FE-3046-4549-BC0E-C098C2FFF375}" name="Table1" displayName="Table1" ref="A1:G41" totalsRowShown="0">
  <autoFilter ref="A1:G41" xr:uid="{02364AF7-86F5-45BF-B8E5-147DD2132B2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9" xr3:uid="{05C120DE-2095-4F09-A506-56C7401EFD84}" name="District"/>
    <tableColumn id="1" xr3:uid="{00C20395-6C2F-4FBF-BD0D-E4ACCB36E34B}" name="Year"/>
    <tableColumn id="2" xr3:uid="{0A5FA428-0FB9-4442-8BA1-CBD37967ADB9}" name="Season"/>
    <tableColumn id="5" xr3:uid="{56EFE2AB-E5B4-4140-8C33-7EB87EC19E7A}" name="Total Claim Paid(TCP)" dataDxfId="1"/>
    <tableColumn id="6" xr3:uid="{0CB19895-3F77-41A2-81BF-3BB44037171E}" name="Total Farmer Benefits(TFB)" dataDxfId="0"/>
    <tableColumn id="7" xr3:uid="{87A37C7B-E270-466A-B8D9-B7FADBEEAAB2}" name="Source"/>
    <tableColumn id="8" xr3:uid="{46792B71-B3C7-4C47-A8C8-0D16686D1D3A}" name="Data Status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F66DD1-3D4C-43B9-BBB8-D7AF400F574C}" name="Table3" displayName="Table3" ref="A1:G41" totalsRowShown="0">
  <autoFilter ref="A1:G41" xr:uid="{9C29EEC1-8917-4A80-B337-6F5C6AB163F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430EAB45-1317-4FBB-AF2A-042E4B4BC08C}" name="District">
      <calculatedColumnFormula>TRIM(Table3[[#This Row],[District]])</calculatedColumnFormula>
    </tableColumn>
    <tableColumn id="2" xr3:uid="{10BC9A69-D1B1-409B-A054-1007EE712CA6}" name="Year"/>
    <tableColumn id="3" xr3:uid="{CE7E4ACE-1395-4FDF-92A8-B8CEFB3B2E90}" name="Season"/>
    <tableColumn id="4" xr3:uid="{EDD4762F-4F23-426D-B14E-E9453DC3A174}" name="Normal Rainfall(mm)"/>
    <tableColumn id="5" xr3:uid="{5F7846FB-6E4E-4F7B-A3F1-DD2CF90FED4B}" name="Actual Rainfall(mm)"/>
    <tableColumn id="6" xr3:uid="{86A6A21A-BA6E-4049-AC03-6CB96DD96737}" name="Departure %">
      <calculatedColumnFormula>(Table3[[#This Row],[Actual Rainfall(mm)]]-Table3[[#This Row],[Normal Rainfall(mm)]])/Table3[[#This Row],[Normal Rainfall(mm)]]</calculatedColumnFormula>
    </tableColumn>
    <tableColumn id="7" xr3:uid="{D0C48379-24A4-4516-8786-5FDC34CB003E}" name="Source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78EAF9-B866-48C2-98F0-D414533D21FD}" name="Table2" displayName="Table2" ref="A1:H41" totalsRowShown="0">
  <autoFilter ref="A1:H41" xr:uid="{E51A5A4D-D92B-4505-893F-973EFE69E4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8">
    <tableColumn id="1" xr3:uid="{798A2C98-1FF7-4F92-874E-93D134FE5B6E}" name="District"/>
    <tableColumn id="2" xr3:uid="{14177516-4F06-438F-BA31-A6F40DB765B8}" name="Year"/>
    <tableColumn id="3" xr3:uid="{0B12C366-63EF-4983-8C9D-E676A70C01BE}" name="Season"/>
    <tableColumn id="4" xr3:uid="{76C2C035-2C8C-46AD-877C-0B2D1D0FED67}" name="Crop"/>
    <tableColumn id="5" xr3:uid="{93037F55-BD8D-4DC5-8DF7-DF7E08C56078}" name="Area(00 ha)"/>
    <tableColumn id="6" xr3:uid="{D88A5AE7-D790-4932-853F-CF62CCA94252}" name="Production(00 Tones)"/>
    <tableColumn id="7" xr3:uid="{C551439B-9A46-4712-8C6C-DED77C996520}" name="Yield(kg/ha)"/>
    <tableColumn id="8" xr3:uid="{56BEADDE-7275-4328-B3AF-DF5D22D04558}" name="Source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6C876-E744-4072-A593-55487E818C60}">
  <dimension ref="A1:G41"/>
  <sheetViews>
    <sheetView zoomScaleNormal="100" workbookViewId="0">
      <selection activeCell="C7" sqref="C7"/>
    </sheetView>
  </sheetViews>
  <sheetFormatPr defaultRowHeight="15" x14ac:dyDescent="0.25"/>
  <cols>
    <col min="1" max="1" width="11.28515625" bestFit="1" customWidth="1"/>
    <col min="2" max="2" width="9.42578125" customWidth="1"/>
    <col min="3" max="3" width="12" bestFit="1" customWidth="1"/>
    <col min="4" max="4" width="26.7109375" customWidth="1"/>
    <col min="5" max="5" width="35.42578125" bestFit="1" customWidth="1"/>
    <col min="6" max="6" width="31.140625" bestFit="1" customWidth="1"/>
    <col min="7" max="7" width="11.140625" bestFit="1" customWidth="1"/>
  </cols>
  <sheetData>
    <row r="1" spans="1:7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12</v>
      </c>
    </row>
    <row r="2" spans="1:7" x14ac:dyDescent="0.25">
      <c r="A2" t="s">
        <v>10</v>
      </c>
      <c r="B2">
        <v>2020</v>
      </c>
      <c r="C2" t="s">
        <v>14</v>
      </c>
      <c r="D2" s="1">
        <v>5977</v>
      </c>
      <c r="E2" s="1">
        <v>6486</v>
      </c>
      <c r="F2" t="s">
        <v>7</v>
      </c>
      <c r="G2" t="s">
        <v>13</v>
      </c>
    </row>
    <row r="3" spans="1:7" x14ac:dyDescent="0.25">
      <c r="A3" t="s">
        <v>10</v>
      </c>
      <c r="B3">
        <v>2020</v>
      </c>
      <c r="C3" t="s">
        <v>11</v>
      </c>
      <c r="D3" s="1">
        <v>55</v>
      </c>
      <c r="E3" s="1">
        <v>111</v>
      </c>
      <c r="F3" t="s">
        <v>7</v>
      </c>
      <c r="G3" t="s">
        <v>13</v>
      </c>
    </row>
    <row r="4" spans="1:7" x14ac:dyDescent="0.25">
      <c r="A4" t="s">
        <v>6</v>
      </c>
      <c r="B4">
        <v>2020</v>
      </c>
      <c r="C4" t="s">
        <v>14</v>
      </c>
      <c r="D4" s="1">
        <v>1010</v>
      </c>
      <c r="E4">
        <v>4861</v>
      </c>
      <c r="F4" t="s">
        <v>7</v>
      </c>
      <c r="G4" t="s">
        <v>13</v>
      </c>
    </row>
    <row r="5" spans="1:7" x14ac:dyDescent="0.25">
      <c r="A5" t="s">
        <v>6</v>
      </c>
      <c r="B5">
        <v>2020</v>
      </c>
      <c r="C5" t="s">
        <v>11</v>
      </c>
      <c r="D5" s="1">
        <v>5</v>
      </c>
      <c r="E5" s="1">
        <v>60</v>
      </c>
      <c r="F5" t="s">
        <v>7</v>
      </c>
      <c r="G5" t="s">
        <v>13</v>
      </c>
    </row>
    <row r="6" spans="1:7" x14ac:dyDescent="0.25">
      <c r="A6" t="s">
        <v>9</v>
      </c>
      <c r="B6">
        <v>2020</v>
      </c>
      <c r="C6" t="s">
        <v>14</v>
      </c>
      <c r="D6" s="1">
        <v>6020</v>
      </c>
      <c r="E6" s="1">
        <v>32975</v>
      </c>
      <c r="F6" t="s">
        <v>7</v>
      </c>
      <c r="G6" t="s">
        <v>13</v>
      </c>
    </row>
    <row r="7" spans="1:7" x14ac:dyDescent="0.25">
      <c r="A7" t="s">
        <v>9</v>
      </c>
      <c r="B7">
        <v>2020</v>
      </c>
      <c r="C7" t="s">
        <v>11</v>
      </c>
      <c r="D7" s="1">
        <v>2</v>
      </c>
      <c r="E7" s="1">
        <v>23</v>
      </c>
      <c r="F7" t="s">
        <v>7</v>
      </c>
      <c r="G7" t="s">
        <v>13</v>
      </c>
    </row>
    <row r="8" spans="1:7" x14ac:dyDescent="0.25">
      <c r="A8" t="s">
        <v>8</v>
      </c>
      <c r="B8">
        <v>2020</v>
      </c>
      <c r="C8" t="s">
        <v>14</v>
      </c>
      <c r="D8" s="1">
        <v>174</v>
      </c>
      <c r="E8" s="1">
        <v>2499</v>
      </c>
      <c r="F8" t="s">
        <v>7</v>
      </c>
      <c r="G8" t="s">
        <v>13</v>
      </c>
    </row>
    <row r="9" spans="1:7" x14ac:dyDescent="0.25">
      <c r="A9" t="s">
        <v>8</v>
      </c>
      <c r="B9">
        <v>2020</v>
      </c>
      <c r="C9" t="s">
        <v>11</v>
      </c>
      <c r="D9" s="1">
        <v>12</v>
      </c>
      <c r="E9" s="1">
        <v>301</v>
      </c>
      <c r="F9" t="s">
        <v>7</v>
      </c>
      <c r="G9" t="s">
        <v>13</v>
      </c>
    </row>
    <row r="10" spans="1:7" x14ac:dyDescent="0.25">
      <c r="A10" t="s">
        <v>10</v>
      </c>
      <c r="B10">
        <v>2021</v>
      </c>
      <c r="C10" t="s">
        <v>14</v>
      </c>
      <c r="D10" s="1">
        <v>15986</v>
      </c>
      <c r="E10" s="1">
        <v>109597</v>
      </c>
      <c r="F10" t="s">
        <v>7</v>
      </c>
      <c r="G10" t="s">
        <v>13</v>
      </c>
    </row>
    <row r="11" spans="1:7" x14ac:dyDescent="0.25">
      <c r="A11" t="s">
        <v>10</v>
      </c>
      <c r="B11">
        <v>2021</v>
      </c>
      <c r="C11" t="s">
        <v>11</v>
      </c>
      <c r="D11" s="1">
        <v>61</v>
      </c>
      <c r="E11" s="1">
        <v>1596</v>
      </c>
      <c r="F11" t="s">
        <v>7</v>
      </c>
      <c r="G11" t="s">
        <v>13</v>
      </c>
    </row>
    <row r="12" spans="1:7" x14ac:dyDescent="0.25">
      <c r="A12" t="s">
        <v>6</v>
      </c>
      <c r="B12">
        <v>2021</v>
      </c>
      <c r="C12" t="s">
        <v>14</v>
      </c>
      <c r="D12">
        <v>847</v>
      </c>
      <c r="E12">
        <v>4149</v>
      </c>
      <c r="F12" t="s">
        <v>7</v>
      </c>
      <c r="G12" t="s">
        <v>13</v>
      </c>
    </row>
    <row r="13" spans="1:7" x14ac:dyDescent="0.25">
      <c r="A13" t="s">
        <v>6</v>
      </c>
      <c r="B13">
        <v>2021</v>
      </c>
      <c r="C13" t="s">
        <v>11</v>
      </c>
      <c r="D13" s="1">
        <v>25</v>
      </c>
      <c r="E13" s="1">
        <v>303</v>
      </c>
      <c r="F13" t="s">
        <v>7</v>
      </c>
      <c r="G13" t="s">
        <v>13</v>
      </c>
    </row>
    <row r="14" spans="1:7" x14ac:dyDescent="0.25">
      <c r="A14" t="s">
        <v>9</v>
      </c>
      <c r="B14">
        <v>2021</v>
      </c>
      <c r="C14" t="s">
        <v>14</v>
      </c>
      <c r="D14" s="1">
        <v>5312</v>
      </c>
      <c r="E14" s="1">
        <v>52433</v>
      </c>
      <c r="F14" t="s">
        <v>7</v>
      </c>
      <c r="G14" t="s">
        <v>13</v>
      </c>
    </row>
    <row r="15" spans="1:7" x14ac:dyDescent="0.25">
      <c r="A15" t="s">
        <v>9</v>
      </c>
      <c r="B15">
        <v>2021</v>
      </c>
      <c r="C15" t="s">
        <v>11</v>
      </c>
      <c r="D15" s="1">
        <v>1</v>
      </c>
      <c r="E15" s="1">
        <v>59</v>
      </c>
      <c r="F15" t="s">
        <v>7</v>
      </c>
      <c r="G15" t="s">
        <v>13</v>
      </c>
    </row>
    <row r="16" spans="1:7" x14ac:dyDescent="0.25">
      <c r="A16" t="s">
        <v>8</v>
      </c>
      <c r="B16">
        <v>2021</v>
      </c>
      <c r="C16" t="s">
        <v>14</v>
      </c>
      <c r="D16" s="1">
        <v>99</v>
      </c>
      <c r="E16" s="1">
        <v>1271</v>
      </c>
      <c r="F16" t="s">
        <v>7</v>
      </c>
      <c r="G16" t="s">
        <v>13</v>
      </c>
    </row>
    <row r="17" spans="1:7" x14ac:dyDescent="0.25">
      <c r="A17" t="s">
        <v>8</v>
      </c>
      <c r="B17">
        <v>2021</v>
      </c>
      <c r="C17" t="s">
        <v>11</v>
      </c>
      <c r="D17" s="1">
        <v>17</v>
      </c>
      <c r="E17" s="1">
        <v>128</v>
      </c>
      <c r="F17" t="s">
        <v>7</v>
      </c>
      <c r="G17" t="s">
        <v>13</v>
      </c>
    </row>
    <row r="18" spans="1:7" x14ac:dyDescent="0.25">
      <c r="A18" t="s">
        <v>10</v>
      </c>
      <c r="B18">
        <v>2022</v>
      </c>
      <c r="C18" t="s">
        <v>14</v>
      </c>
      <c r="D18" s="1">
        <v>12805</v>
      </c>
      <c r="E18" s="1">
        <v>102727</v>
      </c>
      <c r="F18" t="s">
        <v>7</v>
      </c>
      <c r="G18" t="s">
        <v>13</v>
      </c>
    </row>
    <row r="19" spans="1:7" x14ac:dyDescent="0.25">
      <c r="A19" t="s">
        <v>10</v>
      </c>
      <c r="B19">
        <v>2022</v>
      </c>
      <c r="C19" t="s">
        <v>11</v>
      </c>
      <c r="D19" s="1">
        <v>772</v>
      </c>
      <c r="E19" s="1">
        <v>2528</v>
      </c>
      <c r="F19" t="s">
        <v>7</v>
      </c>
      <c r="G19" t="s">
        <v>13</v>
      </c>
    </row>
    <row r="20" spans="1:7" x14ac:dyDescent="0.25">
      <c r="A20" t="s">
        <v>6</v>
      </c>
      <c r="B20">
        <v>2022</v>
      </c>
      <c r="C20" t="s">
        <v>14</v>
      </c>
      <c r="D20">
        <v>1258</v>
      </c>
      <c r="E20" s="1">
        <v>15108</v>
      </c>
      <c r="F20" t="s">
        <v>7</v>
      </c>
      <c r="G20" t="s">
        <v>13</v>
      </c>
    </row>
    <row r="21" spans="1:7" x14ac:dyDescent="0.25">
      <c r="A21" t="s">
        <v>6</v>
      </c>
      <c r="B21">
        <v>2022</v>
      </c>
      <c r="C21" t="s">
        <v>11</v>
      </c>
      <c r="D21" s="1">
        <v>73</v>
      </c>
      <c r="E21" s="1">
        <v>339</v>
      </c>
      <c r="F21" t="s">
        <v>7</v>
      </c>
      <c r="G21" t="s">
        <v>13</v>
      </c>
    </row>
    <row r="22" spans="1:7" x14ac:dyDescent="0.25">
      <c r="A22" t="s">
        <v>9</v>
      </c>
      <c r="B22">
        <v>2022</v>
      </c>
      <c r="C22" t="s">
        <v>14</v>
      </c>
      <c r="D22" s="1">
        <v>2205</v>
      </c>
      <c r="E22" s="1">
        <v>48035</v>
      </c>
      <c r="F22" t="s">
        <v>7</v>
      </c>
      <c r="G22" t="s">
        <v>13</v>
      </c>
    </row>
    <row r="23" spans="1:7" x14ac:dyDescent="0.25">
      <c r="A23" t="s">
        <v>9</v>
      </c>
      <c r="B23">
        <v>2022</v>
      </c>
      <c r="C23" t="s">
        <v>11</v>
      </c>
      <c r="D23" s="1">
        <v>44</v>
      </c>
      <c r="E23" s="1">
        <v>332</v>
      </c>
      <c r="F23" t="s">
        <v>7</v>
      </c>
      <c r="G23" t="s">
        <v>13</v>
      </c>
    </row>
    <row r="24" spans="1:7" x14ac:dyDescent="0.25">
      <c r="A24" t="s">
        <v>8</v>
      </c>
      <c r="B24">
        <v>2022</v>
      </c>
      <c r="C24" t="s">
        <v>14</v>
      </c>
      <c r="D24" s="1">
        <v>149</v>
      </c>
      <c r="E24" s="1">
        <v>1547</v>
      </c>
      <c r="F24" t="s">
        <v>7</v>
      </c>
      <c r="G24" t="s">
        <v>13</v>
      </c>
    </row>
    <row r="25" spans="1:7" x14ac:dyDescent="0.25">
      <c r="A25" t="s">
        <v>8</v>
      </c>
      <c r="B25">
        <v>2022</v>
      </c>
      <c r="C25" t="s">
        <v>11</v>
      </c>
      <c r="D25" s="1">
        <v>12</v>
      </c>
      <c r="E25" s="1">
        <v>105</v>
      </c>
      <c r="F25" t="s">
        <v>7</v>
      </c>
      <c r="G25" t="s">
        <v>13</v>
      </c>
    </row>
    <row r="26" spans="1:7" x14ac:dyDescent="0.25">
      <c r="A26" t="s">
        <v>10</v>
      </c>
      <c r="B26">
        <v>2023</v>
      </c>
      <c r="C26" t="s">
        <v>14</v>
      </c>
      <c r="D26" s="1">
        <v>21399</v>
      </c>
      <c r="E26" s="1">
        <v>175944</v>
      </c>
      <c r="F26" t="s">
        <v>7</v>
      </c>
      <c r="G26" t="s">
        <v>13</v>
      </c>
    </row>
    <row r="27" spans="1:7" x14ac:dyDescent="0.25">
      <c r="A27" t="s">
        <v>10</v>
      </c>
      <c r="B27">
        <v>2023</v>
      </c>
      <c r="C27" t="s">
        <v>11</v>
      </c>
      <c r="D27" s="1">
        <v>3257</v>
      </c>
      <c r="E27" s="1">
        <v>33196</v>
      </c>
      <c r="F27" t="s">
        <v>7</v>
      </c>
      <c r="G27" t="s">
        <v>13</v>
      </c>
    </row>
    <row r="28" spans="1:7" x14ac:dyDescent="0.25">
      <c r="A28" t="s">
        <v>6</v>
      </c>
      <c r="B28">
        <v>2023</v>
      </c>
      <c r="C28" t="s">
        <v>14</v>
      </c>
      <c r="D28" s="1">
        <v>13573</v>
      </c>
      <c r="E28" s="1">
        <v>84011</v>
      </c>
      <c r="F28" t="s">
        <v>7</v>
      </c>
      <c r="G28" t="s">
        <v>13</v>
      </c>
    </row>
    <row r="29" spans="1:7" x14ac:dyDescent="0.25">
      <c r="A29" t="s">
        <v>6</v>
      </c>
      <c r="B29">
        <v>2023</v>
      </c>
      <c r="C29" t="s">
        <v>11</v>
      </c>
      <c r="D29" s="1">
        <v>568</v>
      </c>
      <c r="E29" s="1">
        <v>3477</v>
      </c>
      <c r="F29" t="s">
        <v>7</v>
      </c>
      <c r="G29" t="s">
        <v>13</v>
      </c>
    </row>
    <row r="30" spans="1:7" x14ac:dyDescent="0.25">
      <c r="A30" t="s">
        <v>9</v>
      </c>
      <c r="B30">
        <v>2023</v>
      </c>
      <c r="C30" t="s">
        <v>14</v>
      </c>
      <c r="D30" s="1">
        <v>96882</v>
      </c>
      <c r="E30" s="1">
        <v>262637</v>
      </c>
      <c r="F30" t="s">
        <v>7</v>
      </c>
      <c r="G30" t="s">
        <v>13</v>
      </c>
    </row>
    <row r="31" spans="1:7" x14ac:dyDescent="0.25">
      <c r="A31" t="s">
        <v>9</v>
      </c>
      <c r="B31">
        <v>2023</v>
      </c>
      <c r="C31" t="s">
        <v>11</v>
      </c>
      <c r="D31" s="1">
        <v>619</v>
      </c>
      <c r="E31" s="1">
        <v>4775</v>
      </c>
      <c r="F31" t="s">
        <v>7</v>
      </c>
      <c r="G31" t="s">
        <v>13</v>
      </c>
    </row>
    <row r="32" spans="1:7" x14ac:dyDescent="0.25">
      <c r="A32" t="s">
        <v>8</v>
      </c>
      <c r="B32">
        <v>2023</v>
      </c>
      <c r="C32" t="s">
        <v>14</v>
      </c>
      <c r="D32" s="1">
        <v>6402</v>
      </c>
      <c r="E32" s="1">
        <v>82528</v>
      </c>
      <c r="F32" t="s">
        <v>7</v>
      </c>
      <c r="G32" t="s">
        <v>13</v>
      </c>
    </row>
    <row r="33" spans="1:7" x14ac:dyDescent="0.25">
      <c r="A33" t="s">
        <v>8</v>
      </c>
      <c r="B33">
        <v>2023</v>
      </c>
      <c r="C33" t="s">
        <v>11</v>
      </c>
      <c r="D33" s="1">
        <v>375</v>
      </c>
      <c r="E33" s="1">
        <v>9372</v>
      </c>
      <c r="F33" t="s">
        <v>7</v>
      </c>
      <c r="G33" t="s">
        <v>13</v>
      </c>
    </row>
    <row r="34" spans="1:7" x14ac:dyDescent="0.25">
      <c r="A34" t="s">
        <v>10</v>
      </c>
      <c r="B34">
        <v>2024</v>
      </c>
      <c r="C34" t="s">
        <v>14</v>
      </c>
      <c r="D34" s="1">
        <v>12773</v>
      </c>
      <c r="E34" s="1">
        <v>111111</v>
      </c>
      <c r="F34" t="s">
        <v>7</v>
      </c>
      <c r="G34" t="s">
        <v>13</v>
      </c>
    </row>
    <row r="35" spans="1:7" x14ac:dyDescent="0.25">
      <c r="A35" t="s">
        <v>10</v>
      </c>
      <c r="B35">
        <v>2024</v>
      </c>
      <c r="C35" t="s">
        <v>11</v>
      </c>
      <c r="D35" s="1">
        <v>1648</v>
      </c>
      <c r="E35" s="1">
        <v>5333</v>
      </c>
      <c r="F35" t="s">
        <v>7</v>
      </c>
      <c r="G35" t="s">
        <v>13</v>
      </c>
    </row>
    <row r="36" spans="1:7" x14ac:dyDescent="0.25">
      <c r="A36" t="s">
        <v>6</v>
      </c>
      <c r="B36">
        <v>2024</v>
      </c>
      <c r="C36" t="s">
        <v>14</v>
      </c>
      <c r="D36" s="1">
        <v>6718</v>
      </c>
      <c r="E36" s="1">
        <v>30228</v>
      </c>
      <c r="F36" t="s">
        <v>7</v>
      </c>
      <c r="G36" t="s">
        <v>13</v>
      </c>
    </row>
    <row r="37" spans="1:7" x14ac:dyDescent="0.25">
      <c r="A37" t="s">
        <v>6</v>
      </c>
      <c r="B37">
        <v>2024</v>
      </c>
      <c r="C37" t="s">
        <v>11</v>
      </c>
      <c r="D37" s="1">
        <v>85</v>
      </c>
      <c r="E37" s="1">
        <v>463</v>
      </c>
      <c r="F37" t="s">
        <v>7</v>
      </c>
      <c r="G37" t="s">
        <v>13</v>
      </c>
    </row>
    <row r="38" spans="1:7" x14ac:dyDescent="0.25">
      <c r="A38" t="s">
        <v>9</v>
      </c>
      <c r="B38">
        <v>2024</v>
      </c>
      <c r="C38" t="s">
        <v>14</v>
      </c>
      <c r="D38" s="1">
        <v>12857</v>
      </c>
      <c r="E38" s="1">
        <v>72352</v>
      </c>
      <c r="F38" t="s">
        <v>7</v>
      </c>
      <c r="G38" t="s">
        <v>13</v>
      </c>
    </row>
    <row r="39" spans="1:7" x14ac:dyDescent="0.25">
      <c r="A39" t="s">
        <v>9</v>
      </c>
      <c r="B39">
        <v>2024</v>
      </c>
      <c r="C39" t="s">
        <v>11</v>
      </c>
      <c r="D39" s="1">
        <v>5708</v>
      </c>
      <c r="E39" s="1">
        <v>14588</v>
      </c>
      <c r="F39" t="s">
        <v>7</v>
      </c>
      <c r="G39" t="s">
        <v>13</v>
      </c>
    </row>
    <row r="40" spans="1:7" x14ac:dyDescent="0.25">
      <c r="A40" t="s">
        <v>8</v>
      </c>
      <c r="B40">
        <v>2024</v>
      </c>
      <c r="C40" t="s">
        <v>14</v>
      </c>
      <c r="D40" s="1">
        <v>608</v>
      </c>
      <c r="E40" s="1">
        <v>4005</v>
      </c>
      <c r="F40" t="s">
        <v>7</v>
      </c>
      <c r="G40" t="s">
        <v>13</v>
      </c>
    </row>
    <row r="41" spans="1:7" x14ac:dyDescent="0.25">
      <c r="A41" t="s">
        <v>8</v>
      </c>
      <c r="B41">
        <v>2024</v>
      </c>
      <c r="C41" t="s">
        <v>11</v>
      </c>
      <c r="D41" s="1">
        <v>73</v>
      </c>
      <c r="E41" s="1">
        <v>1738</v>
      </c>
      <c r="F41" t="s">
        <v>7</v>
      </c>
      <c r="G41" t="s">
        <v>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64B5F-2CAF-4800-9E15-17E91D5F75C2}">
  <dimension ref="A1:G41"/>
  <sheetViews>
    <sheetView tabSelected="1" zoomScale="115" zoomScaleNormal="115" workbookViewId="0">
      <selection activeCell="A42" sqref="A42:G43"/>
    </sheetView>
  </sheetViews>
  <sheetFormatPr defaultRowHeight="15" x14ac:dyDescent="0.25"/>
  <cols>
    <col min="1" max="1" width="11.42578125" customWidth="1"/>
    <col min="3" max="3" width="18.5703125" bestFit="1" customWidth="1"/>
    <col min="4" max="4" width="25.7109375" customWidth="1"/>
    <col min="5" max="5" width="25.28515625" customWidth="1"/>
    <col min="6" max="6" width="17.28515625" customWidth="1"/>
    <col min="7" max="7" width="11.5703125" customWidth="1"/>
  </cols>
  <sheetData>
    <row r="1" spans="1:7" x14ac:dyDescent="0.25">
      <c r="A1" t="s">
        <v>2</v>
      </c>
      <c r="B1" t="s">
        <v>0</v>
      </c>
      <c r="C1" t="s">
        <v>1</v>
      </c>
      <c r="D1" t="s">
        <v>16</v>
      </c>
      <c r="E1" t="s">
        <v>15</v>
      </c>
      <c r="F1" t="s">
        <v>17</v>
      </c>
      <c r="G1" t="s">
        <v>5</v>
      </c>
    </row>
    <row r="2" spans="1:7" x14ac:dyDescent="0.25">
      <c r="A2" t="str">
        <f ca="1">TRIM(Table3[[#This Row],[District]])</f>
        <v>Akola</v>
      </c>
      <c r="B2">
        <v>2020</v>
      </c>
      <c r="C2" t="s">
        <v>14</v>
      </c>
      <c r="D2">
        <v>693.7</v>
      </c>
      <c r="E2">
        <v>587.20000000000005</v>
      </c>
      <c r="F2" s="3">
        <f>(Table3[[#This Row],[Actual Rainfall(mm)]]-Table3[[#This Row],[Normal Rainfall(mm)]])/Table3[[#This Row],[Normal Rainfall(mm)]]</f>
        <v>-0.15352457834798902</v>
      </c>
      <c r="G2" t="s">
        <v>18</v>
      </c>
    </row>
    <row r="3" spans="1:7" x14ac:dyDescent="0.25">
      <c r="A3" t="str">
        <f ca="1">TRIM(Table3[[#This Row],[District]])</f>
        <v>Akola</v>
      </c>
      <c r="B3">
        <v>2020</v>
      </c>
      <c r="C3" t="s">
        <v>11</v>
      </c>
      <c r="D3">
        <v>78.400000000000006</v>
      </c>
      <c r="E3">
        <v>52.8</v>
      </c>
      <c r="F3" s="3">
        <f>(Table3[[#This Row],[Actual Rainfall(mm)]]-Table3[[#This Row],[Normal Rainfall(mm)]])/Table3[[#This Row],[Normal Rainfall(mm)]]</f>
        <v>-0.32653061224489804</v>
      </c>
      <c r="G3" t="s">
        <v>18</v>
      </c>
    </row>
    <row r="4" spans="1:7" x14ac:dyDescent="0.25">
      <c r="A4" t="str">
        <f ca="1">TRIM(Table3[[#This Row],[District]])</f>
        <v>Nagpur</v>
      </c>
      <c r="B4">
        <v>2020</v>
      </c>
      <c r="C4" t="s">
        <v>14</v>
      </c>
      <c r="D4" s="2">
        <v>1072.5</v>
      </c>
      <c r="E4" s="1">
        <v>1001</v>
      </c>
      <c r="F4" s="3">
        <f>(Table3[[#This Row],[Actual Rainfall(mm)]]-Table3[[#This Row],[Normal Rainfall(mm)]])/Table3[[#This Row],[Normal Rainfall(mm)]]</f>
        <v>-6.6666666666666666E-2</v>
      </c>
      <c r="G4" t="s">
        <v>18</v>
      </c>
    </row>
    <row r="5" spans="1:7" x14ac:dyDescent="0.25">
      <c r="A5" t="str">
        <f ca="1">TRIM(Table3[[#This Row],[District]])</f>
        <v>Nagpur</v>
      </c>
      <c r="B5">
        <v>2020</v>
      </c>
      <c r="C5" t="s">
        <v>11</v>
      </c>
      <c r="D5">
        <v>81.900000000000006</v>
      </c>
      <c r="E5">
        <v>48.9</v>
      </c>
      <c r="F5" s="3">
        <f>(Table3[[#This Row],[Actual Rainfall(mm)]]-Table3[[#This Row],[Normal Rainfall(mm)]])/Table3[[#This Row],[Normal Rainfall(mm)]]</f>
        <v>-0.402930402930403</v>
      </c>
      <c r="G5" t="s">
        <v>18</v>
      </c>
    </row>
    <row r="6" spans="1:7" x14ac:dyDescent="0.25">
      <c r="A6" t="str">
        <f ca="1">TRIM(Table3[[#This Row],[District]])</f>
        <v>Nashik</v>
      </c>
      <c r="B6">
        <v>2020</v>
      </c>
      <c r="C6" t="s">
        <v>14</v>
      </c>
      <c r="D6">
        <v>707.1</v>
      </c>
      <c r="E6">
        <v>780.3</v>
      </c>
      <c r="F6" s="3">
        <f>(Table3[[#This Row],[Actual Rainfall(mm)]]-Table3[[#This Row],[Normal Rainfall(mm)]])/Table3[[#This Row],[Normal Rainfall(mm)]]</f>
        <v>0.10352142554094178</v>
      </c>
      <c r="G6" t="s">
        <v>18</v>
      </c>
    </row>
    <row r="7" spans="1:7" x14ac:dyDescent="0.25">
      <c r="A7" t="str">
        <f ca="1">TRIM(Table3[[#This Row],[District]])</f>
        <v>Nashik</v>
      </c>
      <c r="B7">
        <v>2020</v>
      </c>
      <c r="C7" t="s">
        <v>11</v>
      </c>
      <c r="D7">
        <v>89.3</v>
      </c>
      <c r="E7">
        <v>78.8</v>
      </c>
      <c r="F7" s="3">
        <f>(Table3[[#This Row],[Actual Rainfall(mm)]]-Table3[[#This Row],[Normal Rainfall(mm)]])/Table3[[#This Row],[Normal Rainfall(mm)]]</f>
        <v>-0.11758118701007839</v>
      </c>
      <c r="G7" t="s">
        <v>18</v>
      </c>
    </row>
    <row r="8" spans="1:7" x14ac:dyDescent="0.25">
      <c r="A8" t="str">
        <f ca="1">TRIM(Table3[[#This Row],[District]])</f>
        <v>Pune</v>
      </c>
      <c r="B8">
        <v>2020</v>
      </c>
      <c r="C8" t="s">
        <v>14</v>
      </c>
      <c r="D8">
        <v>945</v>
      </c>
      <c r="E8">
        <v>884.6</v>
      </c>
      <c r="F8" s="3">
        <f>(Table3[[#This Row],[Actual Rainfall(mm)]]-Table3[[#This Row],[Normal Rainfall(mm)]])/Table3[[#This Row],[Normal Rainfall(mm)]]</f>
        <v>-6.3915343915343897E-2</v>
      </c>
      <c r="G8" t="s">
        <v>18</v>
      </c>
    </row>
    <row r="9" spans="1:7" x14ac:dyDescent="0.25">
      <c r="A9" t="str">
        <f ca="1">TRIM(Table3[[#This Row],[District]])</f>
        <v>Pune</v>
      </c>
      <c r="B9">
        <v>2020</v>
      </c>
      <c r="C9" t="s">
        <v>11</v>
      </c>
      <c r="D9">
        <v>108.1</v>
      </c>
      <c r="E9">
        <v>234.8</v>
      </c>
      <c r="F9" s="3">
        <f>(Table3[[#This Row],[Actual Rainfall(mm)]]-Table3[[#This Row],[Normal Rainfall(mm)]])/Table3[[#This Row],[Normal Rainfall(mm)]]</f>
        <v>1.1720629047178541</v>
      </c>
      <c r="G9" t="s">
        <v>18</v>
      </c>
    </row>
    <row r="10" spans="1:7" x14ac:dyDescent="0.25">
      <c r="A10" t="str">
        <f ca="1">TRIM(Table3[[#This Row],[District]])</f>
        <v>Akola</v>
      </c>
      <c r="B10">
        <v>2021</v>
      </c>
      <c r="C10" t="s">
        <v>14</v>
      </c>
      <c r="D10">
        <v>693.7</v>
      </c>
      <c r="E10">
        <v>780.6</v>
      </c>
      <c r="F10" s="3">
        <f>(Table3[[#This Row],[Actual Rainfall(mm)]]-Table3[[#This Row],[Normal Rainfall(mm)]])/Table3[[#This Row],[Normal Rainfall(mm)]]</f>
        <v>0.12527028975061261</v>
      </c>
      <c r="G10" t="s">
        <v>18</v>
      </c>
    </row>
    <row r="11" spans="1:7" x14ac:dyDescent="0.25">
      <c r="A11" t="str">
        <f ca="1">TRIM(Table3[[#This Row],[District]])</f>
        <v>Akola</v>
      </c>
      <c r="B11">
        <v>2021</v>
      </c>
      <c r="C11" t="s">
        <v>11</v>
      </c>
      <c r="D11">
        <v>89.5</v>
      </c>
      <c r="E11">
        <v>98.5</v>
      </c>
      <c r="F11" s="3">
        <f>(Table3[[#This Row],[Actual Rainfall(mm)]]-Table3[[#This Row],[Normal Rainfall(mm)]])/Table3[[#This Row],[Normal Rainfall(mm)]]</f>
        <v>0.1005586592178771</v>
      </c>
      <c r="G11" t="s">
        <v>18</v>
      </c>
    </row>
    <row r="12" spans="1:7" x14ac:dyDescent="0.25">
      <c r="A12" t="str">
        <f ca="1">TRIM(Table3[[#This Row],[District]])</f>
        <v>Nagpur</v>
      </c>
      <c r="B12">
        <v>2021</v>
      </c>
      <c r="C12" t="s">
        <v>14</v>
      </c>
      <c r="D12" s="2">
        <v>1072.5</v>
      </c>
      <c r="E12" s="2">
        <v>1109.5</v>
      </c>
      <c r="F12" s="3">
        <f>(Table3[[#This Row],[Actual Rainfall(mm)]]-Table3[[#This Row],[Normal Rainfall(mm)]])/Table3[[#This Row],[Normal Rainfall(mm)]]</f>
        <v>3.4498834498834501E-2</v>
      </c>
      <c r="G12" t="s">
        <v>18</v>
      </c>
    </row>
    <row r="13" spans="1:7" x14ac:dyDescent="0.25">
      <c r="A13" t="str">
        <f ca="1">TRIM(Table3[[#This Row],[District]])</f>
        <v>Nagpur</v>
      </c>
      <c r="B13">
        <v>2021</v>
      </c>
      <c r="C13" t="s">
        <v>11</v>
      </c>
      <c r="D13">
        <v>81.900000000000006</v>
      </c>
      <c r="E13">
        <v>56.2</v>
      </c>
      <c r="F13" s="3">
        <f>(Table3[[#This Row],[Actual Rainfall(mm)]]-Table3[[#This Row],[Normal Rainfall(mm)]])/Table3[[#This Row],[Normal Rainfall(mm)]]</f>
        <v>-0.31379731379731379</v>
      </c>
      <c r="G13" t="s">
        <v>18</v>
      </c>
    </row>
    <row r="14" spans="1:7" x14ac:dyDescent="0.25">
      <c r="A14" t="str">
        <f ca="1">TRIM(Table3[[#This Row],[District]])</f>
        <v>Nashik</v>
      </c>
      <c r="B14">
        <v>2021</v>
      </c>
      <c r="C14" t="s">
        <v>14</v>
      </c>
      <c r="D14">
        <v>707.1</v>
      </c>
      <c r="E14">
        <v>675.5</v>
      </c>
      <c r="F14" s="3">
        <f>(Table3[[#This Row],[Actual Rainfall(mm)]]-Table3[[#This Row],[Normal Rainfall(mm)]])/Table3[[#This Row],[Normal Rainfall(mm)]]</f>
        <v>-4.468957714608969E-2</v>
      </c>
      <c r="G14" t="s">
        <v>18</v>
      </c>
    </row>
    <row r="15" spans="1:7" x14ac:dyDescent="0.25">
      <c r="A15" t="str">
        <f ca="1">TRIM(Table3[[#This Row],[District]])</f>
        <v>Nashik</v>
      </c>
      <c r="B15">
        <v>2021</v>
      </c>
      <c r="C15" t="s">
        <v>11</v>
      </c>
      <c r="D15">
        <v>109</v>
      </c>
      <c r="E15">
        <v>89.5</v>
      </c>
      <c r="F15" s="3">
        <f>(Table3[[#This Row],[Actual Rainfall(mm)]]-Table3[[#This Row],[Normal Rainfall(mm)]])/Table3[[#This Row],[Normal Rainfall(mm)]]</f>
        <v>-0.17889908256880735</v>
      </c>
      <c r="G15" t="s">
        <v>18</v>
      </c>
    </row>
    <row r="16" spans="1:7" x14ac:dyDescent="0.25">
      <c r="A16" t="str">
        <f ca="1">TRIM(Table3[[#This Row],[District]])</f>
        <v>Pune</v>
      </c>
      <c r="B16">
        <v>2021</v>
      </c>
      <c r="C16" t="s">
        <v>14</v>
      </c>
      <c r="D16">
        <v>945</v>
      </c>
      <c r="E16">
        <v>845.9</v>
      </c>
      <c r="F16" s="3">
        <f>(Table3[[#This Row],[Actual Rainfall(mm)]]-Table3[[#This Row],[Normal Rainfall(mm)]])/Table3[[#This Row],[Normal Rainfall(mm)]]</f>
        <v>-0.10486772486772489</v>
      </c>
      <c r="G16" t="s">
        <v>18</v>
      </c>
    </row>
    <row r="17" spans="1:7" x14ac:dyDescent="0.25">
      <c r="A17" t="str">
        <f ca="1">TRIM(Table3[[#This Row],[District]])</f>
        <v>Pune</v>
      </c>
      <c r="B17">
        <v>2021</v>
      </c>
      <c r="C17" t="s">
        <v>11</v>
      </c>
      <c r="D17">
        <v>125.2</v>
      </c>
      <c r="E17">
        <v>156.80000000000001</v>
      </c>
      <c r="F17" s="3">
        <f>(Table3[[#This Row],[Actual Rainfall(mm)]]-Table3[[#This Row],[Normal Rainfall(mm)]])/Table3[[#This Row],[Normal Rainfall(mm)]]</f>
        <v>0.25239616613418536</v>
      </c>
      <c r="G17" t="s">
        <v>18</v>
      </c>
    </row>
    <row r="18" spans="1:7" x14ac:dyDescent="0.25">
      <c r="A18" t="str">
        <f ca="1">TRIM(Table3[[#This Row],[District]])</f>
        <v>Akola</v>
      </c>
      <c r="B18">
        <v>2022</v>
      </c>
      <c r="C18" t="s">
        <v>14</v>
      </c>
      <c r="D18">
        <v>693.7</v>
      </c>
      <c r="E18">
        <v>679</v>
      </c>
      <c r="F18" s="3">
        <f>(Table3[[#This Row],[Actual Rainfall(mm)]]-Table3[[#This Row],[Normal Rainfall(mm)]])/Table3[[#This Row],[Normal Rainfall(mm)]]</f>
        <v>-2.1190716448032356E-2</v>
      </c>
      <c r="G18" t="s">
        <v>18</v>
      </c>
    </row>
    <row r="19" spans="1:7" x14ac:dyDescent="0.25">
      <c r="A19" t="str">
        <f ca="1">TRIM(Table3[[#This Row],[District]])</f>
        <v>Akola</v>
      </c>
      <c r="B19">
        <v>2022</v>
      </c>
      <c r="C19" t="s">
        <v>11</v>
      </c>
      <c r="D19">
        <v>78.400000000000006</v>
      </c>
      <c r="E19">
        <v>92.2</v>
      </c>
      <c r="F19" s="3">
        <f>(Table3[[#This Row],[Actual Rainfall(mm)]]-Table3[[#This Row],[Normal Rainfall(mm)]])/Table3[[#This Row],[Normal Rainfall(mm)]]</f>
        <v>0.17602040816326525</v>
      </c>
      <c r="G19" t="s">
        <v>18</v>
      </c>
    </row>
    <row r="20" spans="1:7" x14ac:dyDescent="0.25">
      <c r="A20" t="str">
        <f ca="1">TRIM(Table3[[#This Row],[District]])</f>
        <v>Nagpur</v>
      </c>
      <c r="B20">
        <v>2022</v>
      </c>
      <c r="C20" t="s">
        <v>14</v>
      </c>
      <c r="D20" s="2">
        <v>1072.5</v>
      </c>
      <c r="E20" s="2">
        <v>1527.3</v>
      </c>
      <c r="F20" s="3">
        <f>(Table3[[#This Row],[Actual Rainfall(mm)]]-Table3[[#This Row],[Normal Rainfall(mm)]])/Table3[[#This Row],[Normal Rainfall(mm)]]</f>
        <v>0.42405594405594399</v>
      </c>
      <c r="G20" t="s">
        <v>18</v>
      </c>
    </row>
    <row r="21" spans="1:7" x14ac:dyDescent="0.25">
      <c r="A21" t="str">
        <f ca="1">TRIM(Table3[[#This Row],[District]])</f>
        <v>Nagpur</v>
      </c>
      <c r="B21">
        <v>2022</v>
      </c>
      <c r="C21" t="s">
        <v>11</v>
      </c>
      <c r="D21">
        <v>81.900000000000006</v>
      </c>
      <c r="E21">
        <v>109.4</v>
      </c>
      <c r="F21" s="3">
        <f>(Table3[[#This Row],[Actual Rainfall(mm)]]-Table3[[#This Row],[Normal Rainfall(mm)]])/Table3[[#This Row],[Normal Rainfall(mm)]]</f>
        <v>0.33577533577533575</v>
      </c>
      <c r="G21" t="s">
        <v>18</v>
      </c>
    </row>
    <row r="22" spans="1:7" x14ac:dyDescent="0.25">
      <c r="A22" t="str">
        <f ca="1">TRIM(Table3[[#This Row],[District]])</f>
        <v>Nashik</v>
      </c>
      <c r="B22">
        <v>2022</v>
      </c>
      <c r="C22" t="s">
        <v>14</v>
      </c>
      <c r="D22">
        <v>707.1</v>
      </c>
      <c r="E22">
        <v>786.2</v>
      </c>
      <c r="F22" s="3">
        <f>(Table3[[#This Row],[Actual Rainfall(mm)]]-Table3[[#This Row],[Normal Rainfall(mm)]])/Table3[[#This Row],[Normal Rainfall(mm)]]</f>
        <v>0.1118653655777118</v>
      </c>
      <c r="G22" t="s">
        <v>18</v>
      </c>
    </row>
    <row r="23" spans="1:7" x14ac:dyDescent="0.25">
      <c r="A23" t="str">
        <f ca="1">TRIM(Table3[[#This Row],[District]])</f>
        <v>Nashik</v>
      </c>
      <c r="B23">
        <v>2022</v>
      </c>
      <c r="C23" t="s">
        <v>11</v>
      </c>
      <c r="D23">
        <v>89.3</v>
      </c>
      <c r="E23">
        <v>129.19999999999999</v>
      </c>
      <c r="F23" s="3">
        <f>(Table3[[#This Row],[Actual Rainfall(mm)]]-Table3[[#This Row],[Normal Rainfall(mm)]])/Table3[[#This Row],[Normal Rainfall(mm)]]</f>
        <v>0.4468085106382978</v>
      </c>
      <c r="G23" t="s">
        <v>18</v>
      </c>
    </row>
    <row r="24" spans="1:7" x14ac:dyDescent="0.25">
      <c r="A24" t="str">
        <f ca="1">TRIM(Table3[[#This Row],[District]])</f>
        <v>Pune</v>
      </c>
      <c r="B24">
        <v>2022</v>
      </c>
      <c r="C24" t="s">
        <v>14</v>
      </c>
      <c r="D24">
        <v>945</v>
      </c>
      <c r="E24">
        <v>884.4</v>
      </c>
      <c r="F24" s="3">
        <f>(Table3[[#This Row],[Actual Rainfall(mm)]]-Table3[[#This Row],[Normal Rainfall(mm)]])/Table3[[#This Row],[Normal Rainfall(mm)]]</f>
        <v>-6.4126984126984157E-2</v>
      </c>
      <c r="G24" t="s">
        <v>18</v>
      </c>
    </row>
    <row r="25" spans="1:7" x14ac:dyDescent="0.25">
      <c r="A25" t="str">
        <f ca="1">TRIM(Table3[[#This Row],[District]])</f>
        <v>Pune</v>
      </c>
      <c r="B25">
        <v>2022</v>
      </c>
      <c r="C25" t="s">
        <v>11</v>
      </c>
      <c r="D25">
        <v>108.1</v>
      </c>
      <c r="E25">
        <v>197.2</v>
      </c>
      <c r="F25" s="3">
        <f>(Table3[[#This Row],[Actual Rainfall(mm)]]-Table3[[#This Row],[Normal Rainfall(mm)]])/Table3[[#This Row],[Normal Rainfall(mm)]]</f>
        <v>0.82423681776133206</v>
      </c>
      <c r="G25" t="s">
        <v>18</v>
      </c>
    </row>
    <row r="26" spans="1:7" x14ac:dyDescent="0.25">
      <c r="A26" t="str">
        <f ca="1">TRIM(Table3[[#This Row],[District]])</f>
        <v>Akola</v>
      </c>
      <c r="B26">
        <v>2023</v>
      </c>
      <c r="C26" t="s">
        <v>14</v>
      </c>
      <c r="D26">
        <v>693.7</v>
      </c>
      <c r="E26">
        <v>503.7</v>
      </c>
      <c r="F26" s="3">
        <f>(Table3[[#This Row],[Actual Rainfall(mm)]]-Table3[[#This Row],[Normal Rainfall(mm)]])/Table3[[#This Row],[Normal Rainfall(mm)]]</f>
        <v>-0.2738936139541589</v>
      </c>
      <c r="G26" t="s">
        <v>18</v>
      </c>
    </row>
    <row r="27" spans="1:7" x14ac:dyDescent="0.25">
      <c r="A27" t="str">
        <f ca="1">TRIM(Table3[[#This Row],[District]])</f>
        <v>Akola</v>
      </c>
      <c r="B27">
        <v>2023</v>
      </c>
      <c r="C27" t="s">
        <v>11</v>
      </c>
      <c r="D27">
        <v>78.400000000000006</v>
      </c>
      <c r="E27">
        <v>62.3</v>
      </c>
      <c r="F27" s="3">
        <f>(Table3[[#This Row],[Actual Rainfall(mm)]]-Table3[[#This Row],[Normal Rainfall(mm)]])/Table3[[#This Row],[Normal Rainfall(mm)]]</f>
        <v>-0.20535714285714296</v>
      </c>
      <c r="G27" t="s">
        <v>18</v>
      </c>
    </row>
    <row r="28" spans="1:7" x14ac:dyDescent="0.25">
      <c r="A28" t="str">
        <f ca="1">TRIM(Table3[[#This Row],[District]])</f>
        <v>Nagpur</v>
      </c>
      <c r="B28">
        <v>2023</v>
      </c>
      <c r="C28" t="s">
        <v>14</v>
      </c>
      <c r="D28" s="2">
        <v>1072.5</v>
      </c>
      <c r="E28" s="2">
        <v>1086.2</v>
      </c>
      <c r="F28" s="3">
        <f>(Table3[[#This Row],[Actual Rainfall(mm)]]-Table3[[#This Row],[Normal Rainfall(mm)]])/Table3[[#This Row],[Normal Rainfall(mm)]]</f>
        <v>1.2773892773892816E-2</v>
      </c>
      <c r="G28" t="s">
        <v>18</v>
      </c>
    </row>
    <row r="29" spans="1:7" x14ac:dyDescent="0.25">
      <c r="A29" t="str">
        <f ca="1">TRIM(Table3[[#This Row],[District]])</f>
        <v>Nagpur</v>
      </c>
      <c r="B29">
        <v>2023</v>
      </c>
      <c r="C29" t="s">
        <v>11</v>
      </c>
      <c r="D29">
        <v>81.900000000000006</v>
      </c>
      <c r="E29">
        <v>49.3</v>
      </c>
      <c r="F29" s="3">
        <f>(Table3[[#This Row],[Actual Rainfall(mm)]]-Table3[[#This Row],[Normal Rainfall(mm)]])/Table3[[#This Row],[Normal Rainfall(mm)]]</f>
        <v>-0.39804639804639813</v>
      </c>
      <c r="G29" t="s">
        <v>18</v>
      </c>
    </row>
    <row r="30" spans="1:7" x14ac:dyDescent="0.25">
      <c r="A30" t="str">
        <f ca="1">TRIM(Table3[[#This Row],[District]])</f>
        <v>Nashik</v>
      </c>
      <c r="B30">
        <v>2023</v>
      </c>
      <c r="C30" t="s">
        <v>14</v>
      </c>
      <c r="D30">
        <v>707.1</v>
      </c>
      <c r="E30">
        <v>544.6</v>
      </c>
      <c r="F30" s="3">
        <f>(Table3[[#This Row],[Actual Rainfall(mm)]]-Table3[[#This Row],[Normal Rainfall(mm)]])/Table3[[#This Row],[Normal Rainfall(mm)]]</f>
        <v>-0.22981190779239144</v>
      </c>
      <c r="G30" t="s">
        <v>18</v>
      </c>
    </row>
    <row r="31" spans="1:7" x14ac:dyDescent="0.25">
      <c r="A31" t="str">
        <f ca="1">TRIM(Table3[[#This Row],[District]])</f>
        <v>Nashik</v>
      </c>
      <c r="B31">
        <v>2023</v>
      </c>
      <c r="C31" t="s">
        <v>11</v>
      </c>
      <c r="D31">
        <v>89.3</v>
      </c>
      <c r="E31">
        <v>42.5</v>
      </c>
      <c r="F31" s="3">
        <f>(Table3[[#This Row],[Actual Rainfall(mm)]]-Table3[[#This Row],[Normal Rainfall(mm)]])/Table3[[#This Row],[Normal Rainfall(mm)]]</f>
        <v>-0.52407614781634937</v>
      </c>
      <c r="G31" t="s">
        <v>18</v>
      </c>
    </row>
    <row r="32" spans="1:7" x14ac:dyDescent="0.25">
      <c r="A32" t="str">
        <f ca="1">TRIM(Table3[[#This Row],[District]])</f>
        <v>Pune</v>
      </c>
      <c r="B32">
        <v>2023</v>
      </c>
      <c r="C32" t="s">
        <v>14</v>
      </c>
      <c r="D32">
        <v>922.1</v>
      </c>
      <c r="E32">
        <v>587.4</v>
      </c>
      <c r="F32" s="3">
        <f>(Table3[[#This Row],[Actual Rainfall(mm)]]-Table3[[#This Row],[Normal Rainfall(mm)]])/Table3[[#This Row],[Normal Rainfall(mm)]]</f>
        <v>-0.36297581607200957</v>
      </c>
      <c r="G32" t="s">
        <v>18</v>
      </c>
    </row>
    <row r="33" spans="1:7" x14ac:dyDescent="0.25">
      <c r="A33" t="str">
        <f ca="1">TRIM(Table3[[#This Row],[District]])</f>
        <v>Pune</v>
      </c>
      <c r="B33">
        <v>2023</v>
      </c>
      <c r="C33" t="s">
        <v>11</v>
      </c>
      <c r="D33">
        <v>108.1</v>
      </c>
      <c r="E33">
        <v>62</v>
      </c>
      <c r="F33" s="3">
        <f>(Table3[[#This Row],[Actual Rainfall(mm)]]-Table3[[#This Row],[Normal Rainfall(mm)]])/Table3[[#This Row],[Normal Rainfall(mm)]]</f>
        <v>-0.42645698427382051</v>
      </c>
      <c r="G33" t="s">
        <v>18</v>
      </c>
    </row>
    <row r="34" spans="1:7" x14ac:dyDescent="0.25">
      <c r="A34" t="str">
        <f ca="1">TRIM(Table3[[#This Row],[District]])</f>
        <v>Akola</v>
      </c>
      <c r="B34">
        <v>2024</v>
      </c>
      <c r="C34" t="s">
        <v>14</v>
      </c>
      <c r="D34">
        <v>693.7</v>
      </c>
      <c r="E34" s="2">
        <v>811.2</v>
      </c>
      <c r="F34" s="3">
        <f>(Table3[[#This Row],[Actual Rainfall(mm)]]-Table3[[#This Row],[Normal Rainfall(mm)]])/Table3[[#This Row],[Normal Rainfall(mm)]]</f>
        <v>0.16938157705059823</v>
      </c>
      <c r="G34" t="s">
        <v>18</v>
      </c>
    </row>
    <row r="35" spans="1:7" x14ac:dyDescent="0.25">
      <c r="A35" t="str">
        <f ca="1">TRIM(Table3[[#This Row],[District]])</f>
        <v>Akola</v>
      </c>
      <c r="B35">
        <v>2024</v>
      </c>
      <c r="C35" t="s">
        <v>11</v>
      </c>
      <c r="D35">
        <v>78.400000000000006</v>
      </c>
      <c r="E35">
        <v>46.5</v>
      </c>
      <c r="F35" s="3">
        <f>(Table3[[#This Row],[Actual Rainfall(mm)]]-Table3[[#This Row],[Normal Rainfall(mm)]])/Table3[[#This Row],[Normal Rainfall(mm)]]</f>
        <v>-0.40688775510204084</v>
      </c>
      <c r="G35" t="s">
        <v>18</v>
      </c>
    </row>
    <row r="36" spans="1:7" x14ac:dyDescent="0.25">
      <c r="A36" t="str">
        <f ca="1">TRIM(Table3[[#This Row],[District]])</f>
        <v>Nagpur</v>
      </c>
      <c r="B36">
        <v>2024</v>
      </c>
      <c r="C36" t="s">
        <v>14</v>
      </c>
      <c r="D36" s="2">
        <v>1072.5</v>
      </c>
      <c r="E36" s="2">
        <v>1086.2</v>
      </c>
      <c r="F36" s="3">
        <f>(Table3[[#This Row],[Actual Rainfall(mm)]]-Table3[[#This Row],[Normal Rainfall(mm)]])/Table3[[#This Row],[Normal Rainfall(mm)]]</f>
        <v>1.2773892773892816E-2</v>
      </c>
      <c r="G36" t="s">
        <v>18</v>
      </c>
    </row>
    <row r="37" spans="1:7" x14ac:dyDescent="0.25">
      <c r="A37" t="str">
        <f ca="1">TRIM(Table3[[#This Row],[District]])</f>
        <v>Nagpur</v>
      </c>
      <c r="B37">
        <v>2024</v>
      </c>
      <c r="C37" t="s">
        <v>11</v>
      </c>
      <c r="D37">
        <v>81.900000000000006</v>
      </c>
      <c r="E37">
        <v>19.7</v>
      </c>
      <c r="F37" s="3">
        <f>(Table3[[#This Row],[Actual Rainfall(mm)]]-Table3[[#This Row],[Normal Rainfall(mm)]])/Table3[[#This Row],[Normal Rainfall(mm)]]</f>
        <v>-0.75946275946275943</v>
      </c>
      <c r="G37" t="s">
        <v>18</v>
      </c>
    </row>
    <row r="38" spans="1:7" x14ac:dyDescent="0.25">
      <c r="A38" t="str">
        <f ca="1">TRIM(Table3[[#This Row],[District]])</f>
        <v>Nashik</v>
      </c>
      <c r="B38">
        <v>2024</v>
      </c>
      <c r="C38" t="s">
        <v>14</v>
      </c>
      <c r="D38">
        <v>707.1</v>
      </c>
      <c r="E38" s="2">
        <v>791.5</v>
      </c>
      <c r="F38" s="3">
        <f>(Table3[[#This Row],[Actual Rainfall(mm)]]-Table3[[#This Row],[Normal Rainfall(mm)]])/Table3[[#This Row],[Normal Rainfall(mm)]]</f>
        <v>0.1193607693395559</v>
      </c>
      <c r="G38" t="s">
        <v>18</v>
      </c>
    </row>
    <row r="39" spans="1:7" x14ac:dyDescent="0.25">
      <c r="A39" t="str">
        <f ca="1">TRIM(Table3[[#This Row],[District]])</f>
        <v>Nashik</v>
      </c>
      <c r="B39">
        <v>2024</v>
      </c>
      <c r="C39" t="s">
        <v>11</v>
      </c>
      <c r="D39">
        <v>89.3</v>
      </c>
      <c r="E39">
        <v>144.80000000000001</v>
      </c>
      <c r="F39" s="3">
        <f>(Table3[[#This Row],[Actual Rainfall(mm)]]-Table3[[#This Row],[Normal Rainfall(mm)]])/Table3[[#This Row],[Normal Rainfall(mm)]]</f>
        <v>0.62150055991041453</v>
      </c>
      <c r="G39" t="s">
        <v>18</v>
      </c>
    </row>
    <row r="40" spans="1:7" x14ac:dyDescent="0.25">
      <c r="A40" t="str">
        <f ca="1">TRIM(Table3[[#This Row],[District]])</f>
        <v>Pune</v>
      </c>
      <c r="B40">
        <v>2024</v>
      </c>
      <c r="C40" t="s">
        <v>14</v>
      </c>
      <c r="D40">
        <v>945</v>
      </c>
      <c r="E40" s="2">
        <v>1023.8</v>
      </c>
      <c r="F40" s="3">
        <f>(Table3[[#This Row],[Actual Rainfall(mm)]]-Table3[[#This Row],[Normal Rainfall(mm)]])/Table3[[#This Row],[Normal Rainfall(mm)]]</f>
        <v>8.3386243386243342E-2</v>
      </c>
      <c r="G40" t="s">
        <v>18</v>
      </c>
    </row>
    <row r="41" spans="1:7" x14ac:dyDescent="0.25">
      <c r="A41" t="str">
        <f ca="1">TRIM(Table3[[#This Row],[District]])</f>
        <v>Pune</v>
      </c>
      <c r="B41">
        <v>2024</v>
      </c>
      <c r="C41" t="s">
        <v>11</v>
      </c>
      <c r="D41">
        <v>108.1</v>
      </c>
      <c r="E41">
        <v>68.400000000000006</v>
      </c>
      <c r="F41" s="3">
        <f>(Table3[[#This Row],[Actual Rainfall(mm)]]-Table3[[#This Row],[Normal Rainfall(mm)]])/Table3[[#This Row],[Normal Rainfall(mm)]]</f>
        <v>-0.36725254394079548</v>
      </c>
      <c r="G41" t="s">
        <v>18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186C-AA73-41E2-9A4F-6B9908272999}">
  <dimension ref="A1:H41"/>
  <sheetViews>
    <sheetView zoomScale="85" zoomScaleNormal="85" workbookViewId="0">
      <selection activeCell="B2" sqref="B2"/>
    </sheetView>
  </sheetViews>
  <sheetFormatPr defaultRowHeight="15" x14ac:dyDescent="0.25"/>
  <cols>
    <col min="1" max="1" width="9.28515625" customWidth="1"/>
    <col min="4" max="4" width="10" bestFit="1" customWidth="1"/>
    <col min="5" max="5" width="17.5703125" bestFit="1" customWidth="1"/>
    <col min="6" max="6" width="20.7109375" customWidth="1"/>
    <col min="7" max="7" width="13.42578125" customWidth="1"/>
    <col min="8" max="8" width="19" bestFit="1" customWidth="1"/>
  </cols>
  <sheetData>
    <row r="1" spans="1:8" x14ac:dyDescent="0.25">
      <c r="A1" t="s">
        <v>2</v>
      </c>
      <c r="B1" t="s">
        <v>0</v>
      </c>
      <c r="C1" t="s">
        <v>1</v>
      </c>
      <c r="D1" t="s">
        <v>19</v>
      </c>
      <c r="E1" t="s">
        <v>20</v>
      </c>
      <c r="F1" t="s">
        <v>21</v>
      </c>
      <c r="G1" t="s">
        <v>22</v>
      </c>
      <c r="H1" t="s">
        <v>5</v>
      </c>
    </row>
    <row r="2" spans="1:8" x14ac:dyDescent="0.25">
      <c r="A2" t="s">
        <v>10</v>
      </c>
      <c r="B2" t="s">
        <v>23</v>
      </c>
      <c r="C2" t="s">
        <v>14</v>
      </c>
      <c r="D2" t="s">
        <v>24</v>
      </c>
      <c r="E2">
        <v>2166</v>
      </c>
      <c r="F2">
        <v>2656</v>
      </c>
      <c r="G2">
        <v>1226</v>
      </c>
      <c r="H2" t="s">
        <v>30</v>
      </c>
    </row>
    <row r="3" spans="1:8" x14ac:dyDescent="0.25">
      <c r="A3" t="s">
        <v>10</v>
      </c>
      <c r="B3" t="s">
        <v>23</v>
      </c>
      <c r="C3" t="s">
        <v>11</v>
      </c>
      <c r="D3" t="s">
        <v>25</v>
      </c>
      <c r="E3">
        <v>842.71</v>
      </c>
      <c r="F3">
        <v>970.08</v>
      </c>
      <c r="G3">
        <v>1151</v>
      </c>
      <c r="H3" t="s">
        <v>30</v>
      </c>
    </row>
    <row r="4" spans="1:8" x14ac:dyDescent="0.25">
      <c r="A4" t="s">
        <v>6</v>
      </c>
      <c r="B4" t="s">
        <v>23</v>
      </c>
      <c r="C4" t="s">
        <v>14</v>
      </c>
      <c r="D4" t="s">
        <v>24</v>
      </c>
      <c r="E4">
        <v>1557</v>
      </c>
      <c r="F4">
        <v>626</v>
      </c>
      <c r="G4">
        <v>402</v>
      </c>
      <c r="H4" t="s">
        <v>30</v>
      </c>
    </row>
    <row r="5" spans="1:8" x14ac:dyDescent="0.25">
      <c r="A5" t="s">
        <v>6</v>
      </c>
      <c r="B5" t="s">
        <v>23</v>
      </c>
      <c r="C5" t="s">
        <v>11</v>
      </c>
      <c r="D5" t="s">
        <v>25</v>
      </c>
      <c r="E5">
        <v>655.35</v>
      </c>
      <c r="F5">
        <v>928.43</v>
      </c>
      <c r="G5">
        <v>1417</v>
      </c>
      <c r="H5" t="s">
        <v>30</v>
      </c>
    </row>
    <row r="6" spans="1:8" x14ac:dyDescent="0.25">
      <c r="A6" t="s">
        <v>9</v>
      </c>
      <c r="B6" t="s">
        <v>23</v>
      </c>
      <c r="C6" t="s">
        <v>14</v>
      </c>
      <c r="D6" t="s">
        <v>24</v>
      </c>
      <c r="E6">
        <v>796</v>
      </c>
      <c r="F6">
        <v>1557</v>
      </c>
      <c r="G6">
        <v>1956</v>
      </c>
      <c r="H6" t="s">
        <v>30</v>
      </c>
    </row>
    <row r="7" spans="1:8" x14ac:dyDescent="0.25">
      <c r="A7" t="s">
        <v>9</v>
      </c>
      <c r="B7" t="s">
        <v>23</v>
      </c>
      <c r="C7" t="s">
        <v>11</v>
      </c>
      <c r="D7" t="s">
        <v>25</v>
      </c>
      <c r="E7">
        <v>640.28</v>
      </c>
      <c r="F7">
        <v>540.36</v>
      </c>
      <c r="G7">
        <v>844</v>
      </c>
      <c r="H7" t="s">
        <v>30</v>
      </c>
    </row>
    <row r="8" spans="1:8" x14ac:dyDescent="0.25">
      <c r="A8" t="s">
        <v>8</v>
      </c>
      <c r="B8" t="s">
        <v>23</v>
      </c>
      <c r="C8" t="s">
        <v>14</v>
      </c>
      <c r="D8" t="s">
        <v>24</v>
      </c>
      <c r="E8">
        <v>247</v>
      </c>
      <c r="F8">
        <v>697</v>
      </c>
      <c r="G8">
        <v>2822</v>
      </c>
      <c r="H8" t="s">
        <v>30</v>
      </c>
    </row>
    <row r="9" spans="1:8" x14ac:dyDescent="0.25">
      <c r="A9" t="s">
        <v>8</v>
      </c>
      <c r="B9" t="s">
        <v>23</v>
      </c>
      <c r="C9" t="s">
        <v>11</v>
      </c>
      <c r="D9" t="s">
        <v>25</v>
      </c>
      <c r="E9">
        <v>802.74</v>
      </c>
      <c r="F9">
        <v>681.44</v>
      </c>
      <c r="G9">
        <v>849</v>
      </c>
      <c r="H9" t="s">
        <v>30</v>
      </c>
    </row>
    <row r="10" spans="1:8" x14ac:dyDescent="0.25">
      <c r="A10" t="s">
        <v>10</v>
      </c>
      <c r="B10" t="s">
        <v>26</v>
      </c>
      <c r="C10" t="s">
        <v>14</v>
      </c>
      <c r="D10" t="s">
        <v>24</v>
      </c>
      <c r="E10">
        <v>2356.36</v>
      </c>
      <c r="F10">
        <v>2566.79</v>
      </c>
      <c r="G10">
        <v>1089.3</v>
      </c>
      <c r="H10" t="s">
        <v>30</v>
      </c>
    </row>
    <row r="11" spans="1:8" x14ac:dyDescent="0.25">
      <c r="A11" t="s">
        <v>10</v>
      </c>
      <c r="B11" t="s">
        <v>26</v>
      </c>
      <c r="C11" t="s">
        <v>11</v>
      </c>
      <c r="D11" t="s">
        <v>25</v>
      </c>
      <c r="E11">
        <v>998.78</v>
      </c>
      <c r="F11">
        <v>1259.3</v>
      </c>
      <c r="G11">
        <v>1260.83</v>
      </c>
      <c r="H11" t="s">
        <v>30</v>
      </c>
    </row>
    <row r="12" spans="1:8" x14ac:dyDescent="0.25">
      <c r="A12" t="s">
        <v>6</v>
      </c>
      <c r="B12" t="s">
        <v>26</v>
      </c>
      <c r="C12" t="s">
        <v>14</v>
      </c>
      <c r="D12" t="s">
        <v>24</v>
      </c>
      <c r="E12">
        <v>1452.28</v>
      </c>
      <c r="F12">
        <v>1108.82</v>
      </c>
      <c r="G12">
        <v>763.5</v>
      </c>
      <c r="H12" t="s">
        <v>30</v>
      </c>
    </row>
    <row r="13" spans="1:8" x14ac:dyDescent="0.25">
      <c r="A13" t="s">
        <v>6</v>
      </c>
      <c r="B13" t="s">
        <v>26</v>
      </c>
      <c r="C13" t="s">
        <v>11</v>
      </c>
      <c r="D13" t="s">
        <v>25</v>
      </c>
      <c r="E13">
        <v>677</v>
      </c>
      <c r="F13">
        <v>1195.5</v>
      </c>
      <c r="G13">
        <v>1765.88</v>
      </c>
      <c r="H13" t="s">
        <v>30</v>
      </c>
    </row>
    <row r="14" spans="1:8" x14ac:dyDescent="0.25">
      <c r="A14" t="s">
        <v>9</v>
      </c>
      <c r="B14" t="s">
        <v>26</v>
      </c>
      <c r="C14" t="s">
        <v>14</v>
      </c>
      <c r="D14" t="s">
        <v>24</v>
      </c>
      <c r="E14">
        <v>864.35</v>
      </c>
      <c r="F14">
        <v>1563.86</v>
      </c>
      <c r="G14">
        <v>1809.3</v>
      </c>
      <c r="H14" t="s">
        <v>30</v>
      </c>
    </row>
    <row r="15" spans="1:8" x14ac:dyDescent="0.25">
      <c r="A15" t="s">
        <v>9</v>
      </c>
      <c r="B15" t="s">
        <v>26</v>
      </c>
      <c r="C15" t="s">
        <v>11</v>
      </c>
      <c r="D15" t="s">
        <v>25</v>
      </c>
      <c r="E15">
        <v>650.88</v>
      </c>
      <c r="F15">
        <v>596.6</v>
      </c>
      <c r="G15">
        <v>916.6</v>
      </c>
      <c r="H15" t="s">
        <v>30</v>
      </c>
    </row>
    <row r="16" spans="1:8" x14ac:dyDescent="0.25">
      <c r="A16" t="s">
        <v>8</v>
      </c>
      <c r="B16" t="s">
        <v>26</v>
      </c>
      <c r="C16" t="s">
        <v>14</v>
      </c>
      <c r="D16" t="s">
        <v>24</v>
      </c>
      <c r="E16">
        <v>283.35000000000002</v>
      </c>
      <c r="F16">
        <v>738.5</v>
      </c>
      <c r="G16">
        <v>2606.3000000000002</v>
      </c>
      <c r="H16" t="s">
        <v>30</v>
      </c>
    </row>
    <row r="17" spans="1:8" x14ac:dyDescent="0.25">
      <c r="A17" t="s">
        <v>8</v>
      </c>
      <c r="B17" t="s">
        <v>26</v>
      </c>
      <c r="C17" t="s">
        <v>11</v>
      </c>
      <c r="D17" t="s">
        <v>25</v>
      </c>
      <c r="E17">
        <v>859.23</v>
      </c>
      <c r="F17">
        <v>907.1</v>
      </c>
      <c r="G17">
        <v>1055.71</v>
      </c>
      <c r="H17" t="s">
        <v>30</v>
      </c>
    </row>
    <row r="18" spans="1:8" x14ac:dyDescent="0.25">
      <c r="A18" t="s">
        <v>10</v>
      </c>
      <c r="B18" t="s">
        <v>27</v>
      </c>
      <c r="C18" t="s">
        <v>14</v>
      </c>
      <c r="D18" t="s">
        <v>24</v>
      </c>
      <c r="E18">
        <v>2427.17</v>
      </c>
      <c r="F18">
        <v>3876.67</v>
      </c>
      <c r="G18">
        <v>1597.2</v>
      </c>
      <c r="H18" t="s">
        <v>30</v>
      </c>
    </row>
    <row r="19" spans="1:8" x14ac:dyDescent="0.25">
      <c r="A19" t="s">
        <v>10</v>
      </c>
      <c r="B19" t="s">
        <v>27</v>
      </c>
      <c r="C19" t="s">
        <v>11</v>
      </c>
      <c r="D19" t="s">
        <v>25</v>
      </c>
      <c r="E19">
        <v>1205.23</v>
      </c>
      <c r="F19">
        <v>1340.4</v>
      </c>
      <c r="G19">
        <v>1112.1500000000001</v>
      </c>
      <c r="H19" t="s">
        <v>30</v>
      </c>
    </row>
    <row r="20" spans="1:8" x14ac:dyDescent="0.25">
      <c r="A20" t="s">
        <v>6</v>
      </c>
      <c r="B20" t="s">
        <v>27</v>
      </c>
      <c r="C20" t="s">
        <v>14</v>
      </c>
      <c r="D20" t="s">
        <v>24</v>
      </c>
      <c r="E20">
        <v>832.12</v>
      </c>
      <c r="F20">
        <v>1000.54</v>
      </c>
      <c r="G20">
        <v>1202.4000000000001</v>
      </c>
      <c r="H20" t="s">
        <v>30</v>
      </c>
    </row>
    <row r="21" spans="1:8" x14ac:dyDescent="0.25">
      <c r="A21" t="s">
        <v>6</v>
      </c>
      <c r="B21" t="s">
        <v>27</v>
      </c>
      <c r="C21" t="s">
        <v>11</v>
      </c>
      <c r="D21" t="s">
        <v>25</v>
      </c>
      <c r="E21">
        <v>906.74</v>
      </c>
      <c r="F21">
        <v>1196.3</v>
      </c>
      <c r="G21">
        <v>1319.35</v>
      </c>
      <c r="H21" t="s">
        <v>30</v>
      </c>
    </row>
    <row r="22" spans="1:8" x14ac:dyDescent="0.25">
      <c r="A22" t="s">
        <v>9</v>
      </c>
      <c r="B22" t="s">
        <v>27</v>
      </c>
      <c r="C22" t="s">
        <v>14</v>
      </c>
      <c r="D22" t="s">
        <v>24</v>
      </c>
      <c r="E22">
        <v>1034.5899999999999</v>
      </c>
      <c r="F22">
        <v>1784.36</v>
      </c>
      <c r="G22">
        <v>1724.7</v>
      </c>
      <c r="H22" t="s">
        <v>30</v>
      </c>
    </row>
    <row r="23" spans="1:8" x14ac:dyDescent="0.25">
      <c r="A23" t="s">
        <v>9</v>
      </c>
      <c r="B23" t="s">
        <v>27</v>
      </c>
      <c r="C23" t="s">
        <v>11</v>
      </c>
      <c r="D23" t="s">
        <v>25</v>
      </c>
      <c r="E23">
        <v>324.39999999999998</v>
      </c>
      <c r="F23">
        <v>319.2</v>
      </c>
      <c r="G23">
        <v>983.98</v>
      </c>
      <c r="H23" t="s">
        <v>30</v>
      </c>
    </row>
    <row r="24" spans="1:8" x14ac:dyDescent="0.25">
      <c r="A24" t="s">
        <v>8</v>
      </c>
      <c r="B24" t="s">
        <v>27</v>
      </c>
      <c r="C24" t="s">
        <v>14</v>
      </c>
      <c r="D24" t="s">
        <v>24</v>
      </c>
      <c r="E24">
        <v>443.4</v>
      </c>
      <c r="F24">
        <v>1156.3800000000001</v>
      </c>
      <c r="G24">
        <v>2608</v>
      </c>
      <c r="H24" t="s">
        <v>30</v>
      </c>
    </row>
    <row r="25" spans="1:8" x14ac:dyDescent="0.25">
      <c r="A25" t="s">
        <v>8</v>
      </c>
      <c r="B25" t="s">
        <v>27</v>
      </c>
      <c r="C25" t="s">
        <v>11</v>
      </c>
      <c r="D25" t="s">
        <v>25</v>
      </c>
      <c r="E25">
        <v>294.58</v>
      </c>
      <c r="F25">
        <v>323.5</v>
      </c>
      <c r="G25">
        <v>1098.17</v>
      </c>
      <c r="H25" t="s">
        <v>30</v>
      </c>
    </row>
    <row r="26" spans="1:8" x14ac:dyDescent="0.25">
      <c r="A26" t="s">
        <v>10</v>
      </c>
      <c r="B26" t="s">
        <v>28</v>
      </c>
      <c r="C26" t="s">
        <v>14</v>
      </c>
      <c r="D26" t="s">
        <v>24</v>
      </c>
      <c r="E26">
        <v>2467.23</v>
      </c>
      <c r="F26">
        <v>3314.47</v>
      </c>
      <c r="G26">
        <v>1343.4</v>
      </c>
      <c r="H26" t="s">
        <v>30</v>
      </c>
    </row>
    <row r="27" spans="1:8" x14ac:dyDescent="0.25">
      <c r="A27" t="s">
        <v>10</v>
      </c>
      <c r="B27" t="s">
        <v>28</v>
      </c>
      <c r="C27" t="s">
        <v>11</v>
      </c>
      <c r="D27" t="s">
        <v>25</v>
      </c>
      <c r="E27">
        <v>1122.82</v>
      </c>
      <c r="F27">
        <v>1287.5899999999999</v>
      </c>
      <c r="G27">
        <v>1146.75</v>
      </c>
      <c r="H27" t="s">
        <v>30</v>
      </c>
    </row>
    <row r="28" spans="1:8" x14ac:dyDescent="0.25">
      <c r="A28" t="s">
        <v>6</v>
      </c>
      <c r="B28" t="s">
        <v>28</v>
      </c>
      <c r="C28" t="s">
        <v>14</v>
      </c>
      <c r="D28" t="s">
        <v>24</v>
      </c>
      <c r="E28">
        <v>872.86</v>
      </c>
      <c r="F28">
        <v>1028.06</v>
      </c>
      <c r="G28">
        <v>1177.8</v>
      </c>
      <c r="H28" t="s">
        <v>30</v>
      </c>
    </row>
    <row r="29" spans="1:8" x14ac:dyDescent="0.25">
      <c r="A29" t="s">
        <v>6</v>
      </c>
      <c r="B29" t="s">
        <v>28</v>
      </c>
      <c r="C29" t="s">
        <v>11</v>
      </c>
      <c r="D29" t="s">
        <v>25</v>
      </c>
      <c r="E29">
        <v>929.02</v>
      </c>
      <c r="F29">
        <v>1123</v>
      </c>
      <c r="G29">
        <v>1208.8</v>
      </c>
      <c r="H29" t="s">
        <v>30</v>
      </c>
    </row>
    <row r="30" spans="1:8" x14ac:dyDescent="0.25">
      <c r="A30" t="s">
        <v>9</v>
      </c>
      <c r="B30" t="s">
        <v>28</v>
      </c>
      <c r="C30" t="s">
        <v>14</v>
      </c>
      <c r="D30" t="s">
        <v>24</v>
      </c>
      <c r="E30">
        <v>1204.6199999999999</v>
      </c>
      <c r="F30">
        <v>633.03</v>
      </c>
      <c r="G30">
        <v>525.5</v>
      </c>
      <c r="H30" t="s">
        <v>30</v>
      </c>
    </row>
    <row r="31" spans="1:8" x14ac:dyDescent="0.25">
      <c r="A31" t="s">
        <v>9</v>
      </c>
      <c r="B31" t="s">
        <v>28</v>
      </c>
      <c r="C31" t="s">
        <v>11</v>
      </c>
      <c r="D31" t="s">
        <v>25</v>
      </c>
      <c r="E31">
        <v>251.63</v>
      </c>
      <c r="F31">
        <v>169.4</v>
      </c>
      <c r="G31">
        <v>673.22</v>
      </c>
      <c r="H31" t="s">
        <v>30</v>
      </c>
    </row>
    <row r="32" spans="1:8" x14ac:dyDescent="0.25">
      <c r="A32" t="s">
        <v>8</v>
      </c>
      <c r="B32" t="s">
        <v>28</v>
      </c>
      <c r="C32" t="s">
        <v>14</v>
      </c>
      <c r="D32" t="s">
        <v>24</v>
      </c>
      <c r="E32">
        <v>444.84</v>
      </c>
      <c r="F32">
        <v>917.84</v>
      </c>
      <c r="G32">
        <v>2063.3000000000002</v>
      </c>
      <c r="H32" t="s">
        <v>30</v>
      </c>
    </row>
    <row r="33" spans="1:8" x14ac:dyDescent="0.25">
      <c r="A33" t="s">
        <v>8</v>
      </c>
      <c r="B33" t="s">
        <v>28</v>
      </c>
      <c r="C33" t="s">
        <v>11</v>
      </c>
      <c r="D33" t="s">
        <v>25</v>
      </c>
      <c r="E33">
        <v>232</v>
      </c>
      <c r="F33">
        <v>245</v>
      </c>
      <c r="G33">
        <v>1056.05</v>
      </c>
      <c r="H33" t="s">
        <v>30</v>
      </c>
    </row>
    <row r="34" spans="1:8" x14ac:dyDescent="0.25">
      <c r="A34" t="s">
        <v>10</v>
      </c>
      <c r="B34" t="s">
        <v>29</v>
      </c>
      <c r="C34" t="s">
        <v>14</v>
      </c>
      <c r="D34" t="s">
        <v>24</v>
      </c>
      <c r="E34">
        <v>2410.8000000000002</v>
      </c>
      <c r="F34">
        <v>3103.89</v>
      </c>
      <c r="G34">
        <v>1287.49</v>
      </c>
      <c r="H34" t="s">
        <v>30</v>
      </c>
    </row>
    <row r="35" spans="1:8" x14ac:dyDescent="0.25">
      <c r="A35" t="s">
        <v>10</v>
      </c>
      <c r="B35" t="s">
        <v>29</v>
      </c>
      <c r="C35" t="s">
        <v>11</v>
      </c>
      <c r="D35" t="s">
        <v>25</v>
      </c>
      <c r="E35">
        <v>1181.8</v>
      </c>
      <c r="F35">
        <v>1159.1300000000001</v>
      </c>
      <c r="G35">
        <v>980.81</v>
      </c>
      <c r="H35" t="s">
        <v>30</v>
      </c>
    </row>
    <row r="36" spans="1:8" x14ac:dyDescent="0.25">
      <c r="A36" t="s">
        <v>6</v>
      </c>
      <c r="B36" t="s">
        <v>29</v>
      </c>
      <c r="C36" t="s">
        <v>14</v>
      </c>
      <c r="D36" t="s">
        <v>24</v>
      </c>
      <c r="E36">
        <v>916.78</v>
      </c>
      <c r="F36">
        <v>753.6</v>
      </c>
      <c r="G36">
        <v>822</v>
      </c>
      <c r="H36" t="s">
        <v>30</v>
      </c>
    </row>
    <row r="37" spans="1:8" x14ac:dyDescent="0.25">
      <c r="A37" t="s">
        <v>6</v>
      </c>
      <c r="B37" t="s">
        <v>29</v>
      </c>
      <c r="C37" t="s">
        <v>11</v>
      </c>
      <c r="D37" t="s">
        <v>25</v>
      </c>
      <c r="E37">
        <v>958.02</v>
      </c>
      <c r="F37">
        <v>1177.8699999999999</v>
      </c>
      <c r="G37">
        <v>1229.48</v>
      </c>
      <c r="H37" t="s">
        <v>30</v>
      </c>
    </row>
    <row r="38" spans="1:8" x14ac:dyDescent="0.25">
      <c r="A38" t="s">
        <v>9</v>
      </c>
      <c r="B38" t="s">
        <v>29</v>
      </c>
      <c r="C38" t="s">
        <v>14</v>
      </c>
      <c r="D38" t="s">
        <v>24</v>
      </c>
      <c r="E38">
        <v>1167.4000000000001</v>
      </c>
      <c r="F38">
        <v>2352.0100000000002</v>
      </c>
      <c r="G38">
        <v>2014.74</v>
      </c>
      <c r="H38" t="s">
        <v>30</v>
      </c>
    </row>
    <row r="39" spans="1:8" x14ac:dyDescent="0.25">
      <c r="A39" t="s">
        <v>9</v>
      </c>
      <c r="B39" t="s">
        <v>29</v>
      </c>
      <c r="C39" t="s">
        <v>11</v>
      </c>
      <c r="D39" t="s">
        <v>25</v>
      </c>
      <c r="E39">
        <v>272.58999999999997</v>
      </c>
      <c r="F39">
        <v>187.07</v>
      </c>
      <c r="G39">
        <v>686.27</v>
      </c>
      <c r="H39" t="s">
        <v>30</v>
      </c>
    </row>
    <row r="40" spans="1:8" x14ac:dyDescent="0.25">
      <c r="A40" t="s">
        <v>8</v>
      </c>
      <c r="B40" t="s">
        <v>29</v>
      </c>
      <c r="C40" t="s">
        <v>14</v>
      </c>
      <c r="D40" t="s">
        <v>24</v>
      </c>
      <c r="E40">
        <v>508.61</v>
      </c>
      <c r="F40">
        <v>1319.26</v>
      </c>
      <c r="G40">
        <v>2593.84</v>
      </c>
      <c r="H40" t="s">
        <v>30</v>
      </c>
    </row>
    <row r="41" spans="1:8" x14ac:dyDescent="0.25">
      <c r="A41" t="s">
        <v>8</v>
      </c>
      <c r="B41" t="s">
        <v>29</v>
      </c>
      <c r="C41" t="s">
        <v>11</v>
      </c>
      <c r="D41" t="s">
        <v>25</v>
      </c>
      <c r="E41">
        <v>276.95999999999998</v>
      </c>
      <c r="F41">
        <v>292.44</v>
      </c>
      <c r="G41">
        <v>1055.9000000000001</v>
      </c>
      <c r="H41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PMFBY</vt:lpstr>
      <vt:lpstr>IMD Rainfall</vt:lpstr>
      <vt:lpstr>Maharashtra crop yield statisti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2026-09-08T13:38:45Z</dcterms:created>
  <dcterms:modified xsi:type="dcterms:W3CDTF">2026-10-10T07:04:41Z</dcterms:modified>
</cp:coreProperties>
</file>